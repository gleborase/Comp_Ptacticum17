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 firstSheet="3" activeTab="11"/>
  </bookViews>
  <sheets>
    <sheet name="январь" sheetId="1" r:id="rId1"/>
    <sheet name="февраль" sheetId="2" r:id="rId2"/>
    <sheet name="март" sheetId="3" r:id="rId3"/>
    <sheet name="апрель" sheetId="4" r:id="rId4"/>
    <sheet name="май" sheetId="5" r:id="rId5"/>
    <sheet name="июнь" sheetId="6" r:id="rId6"/>
    <sheet name="июль" sheetId="7" r:id="rId7"/>
    <sheet name="август" sheetId="8" r:id="rId8"/>
    <sheet name="сентябрь" sheetId="9" r:id="rId9"/>
    <sheet name="октябрь" sheetId="10" r:id="rId10"/>
    <sheet name="ноябрь" sheetId="11" r:id="rId11"/>
    <sheet name="декабрь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6" l="1"/>
  <c r="D6" i="6"/>
  <c r="D5" i="6"/>
  <c r="D4" i="6"/>
  <c r="F15" i="7"/>
  <c r="F14" i="7"/>
  <c r="F13" i="7"/>
  <c r="F12" i="7"/>
  <c r="F11" i="7"/>
  <c r="F10" i="7"/>
  <c r="F9" i="7"/>
  <c r="F8" i="7"/>
  <c r="F7" i="7"/>
  <c r="F6" i="7"/>
  <c r="F5" i="7"/>
  <c r="F16" i="7" s="1"/>
</calcChain>
</file>

<file path=xl/sharedStrings.xml><?xml version="1.0" encoding="utf-8"?>
<sst xmlns="http://schemas.openxmlformats.org/spreadsheetml/2006/main" count="115" uniqueCount="89">
  <si>
    <t>Это первая строка Это вторая строка</t>
  </si>
  <si>
    <t>Месяц</t>
  </si>
  <si>
    <t>январь</t>
  </si>
  <si>
    <t>февраль</t>
  </si>
  <si>
    <t>март</t>
  </si>
  <si>
    <t>Алгебра</t>
  </si>
  <si>
    <t xml:space="preserve">История </t>
  </si>
  <si>
    <t>Физика</t>
  </si>
  <si>
    <t>Ин. Яз.</t>
  </si>
  <si>
    <t>ОИВТ</t>
  </si>
  <si>
    <t>Химия</t>
  </si>
  <si>
    <t>Среда</t>
  </si>
  <si>
    <t>Класс</t>
  </si>
  <si>
    <t>9А</t>
  </si>
  <si>
    <t>9Б</t>
  </si>
  <si>
    <t>9В</t>
  </si>
  <si>
    <t xml:space="preserve">Алгебра </t>
  </si>
  <si>
    <t>История</t>
  </si>
  <si>
    <t xml:space="preserve">Физика </t>
  </si>
  <si>
    <t>Понедельник</t>
  </si>
  <si>
    <t>A</t>
  </si>
  <si>
    <t>B</t>
  </si>
  <si>
    <t>C</t>
  </si>
  <si>
    <t>Наименование устройства</t>
  </si>
  <si>
    <t>Информационная ёмкость в ГБ</t>
  </si>
  <si>
    <t>Информационная ёмкость в МБ</t>
  </si>
  <si>
    <t>Жесткий магнитный диск</t>
  </si>
  <si>
    <t>CD-диск</t>
  </si>
  <si>
    <t>DVD-диск</t>
  </si>
  <si>
    <t>Flash-память</t>
  </si>
  <si>
    <t>ЗАРПЛАТА</t>
  </si>
  <si>
    <t>Фамилия</t>
  </si>
  <si>
    <t>Оплата за час</t>
  </si>
  <si>
    <t>Часов в день</t>
  </si>
  <si>
    <t>Дней</t>
  </si>
  <si>
    <t>Зарплата</t>
  </si>
  <si>
    <t>Петров А.Д.</t>
  </si>
  <si>
    <t>Сидоров В.И.</t>
  </si>
  <si>
    <t>Иванов К.Т.</t>
  </si>
  <si>
    <t>Николаев С.Ю.</t>
  </si>
  <si>
    <t>Васечкин Д.Т.</t>
  </si>
  <si>
    <t>Юрьев Н.Л.</t>
  </si>
  <si>
    <t>Попов Р.Г.</t>
  </si>
  <si>
    <t>Синицын М.Н.</t>
  </si>
  <si>
    <t>Григорьев Р.О.</t>
  </si>
  <si>
    <t>Тимофеев Т.Н.</t>
  </si>
  <si>
    <t>Доценко А.Н.</t>
  </si>
  <si>
    <t>Сумма</t>
  </si>
  <si>
    <t>СВЕДЕНИЯ ОБ ОКЕАНАХ НА ЗЕМНОМ ШАРЕ</t>
  </si>
  <si>
    <t>Название</t>
  </si>
  <si>
    <t>Тихий</t>
  </si>
  <si>
    <t>Атлантический</t>
  </si>
  <si>
    <t>Индийский</t>
  </si>
  <si>
    <t>Сев.Ледовитый</t>
  </si>
  <si>
    <t>Площадь,тыс.кв.м.</t>
  </si>
  <si>
    <t>Наиб. Глубина, м</t>
  </si>
  <si>
    <t>№ п/п</t>
  </si>
  <si>
    <t>Рус.язык</t>
  </si>
  <si>
    <t>история</t>
  </si>
  <si>
    <t>ИЗО</t>
  </si>
  <si>
    <t>Иванов</t>
  </si>
  <si>
    <t>Перов</t>
  </si>
  <si>
    <t>Галкин</t>
  </si>
  <si>
    <t>Краснов</t>
  </si>
  <si>
    <t>Сидоров</t>
  </si>
  <si>
    <t>Беляев</t>
  </si>
  <si>
    <t>5000р.</t>
  </si>
  <si>
    <t xml:space="preserve">Объем вознаграждения </t>
  </si>
  <si>
    <t>275р.</t>
  </si>
  <si>
    <t xml:space="preserve">Расчет вознаграждения </t>
  </si>
  <si>
    <t>Объем сделки</t>
  </si>
  <si>
    <t xml:space="preserve">Размер вознаграждения </t>
  </si>
  <si>
    <t>ОБЩИЕ СВЕДЕНИЯ О ПЛАНЕТЕ ЗЕМЛЯ</t>
  </si>
  <si>
    <t>Среднее расстояние от Земли до Солнца, км</t>
  </si>
  <si>
    <t>Среднее расстояние от Земли до Луны, км</t>
  </si>
  <si>
    <t>Время полного оборота земли вокруг своейй оси, час:мин:сек</t>
  </si>
  <si>
    <t>Период вращения Земли вокргу Солнца, суток</t>
  </si>
  <si>
    <t>Средняя скорость вращения Земли по орбите, км/сек</t>
  </si>
  <si>
    <t>Вторник</t>
  </si>
  <si>
    <t xml:space="preserve">Четверг </t>
  </si>
  <si>
    <t>Пятница</t>
  </si>
  <si>
    <t>Суббота</t>
  </si>
  <si>
    <t>Воскресенье</t>
  </si>
  <si>
    <t>Метро</t>
  </si>
  <si>
    <t>Автобус</t>
  </si>
  <si>
    <t>тролейбус</t>
  </si>
  <si>
    <t>Трамвай</t>
  </si>
  <si>
    <t>Стоимость одной поездки</t>
  </si>
  <si>
    <t>Всего за неделю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</si>
</sst>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,&quot;р.&quot;"/>
  </numFmts>
  <fonts count="8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70C0"/>
      <name val="Calibri"/>
      <family val="2"/>
      <charset val="204"/>
      <scheme val="minor"/>
    </font>
    <font>
      <sz val="11"/>
      <color rgb="FF92D050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2D63A"/>
        <bgColor indexed="64"/>
      </patternFill>
    </fill>
    <fill>
      <patternFill patternType="solid">
        <fgColor rgb="FF834090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textRotation="255"/>
    </xf>
    <xf numFmtId="0" fontId="0" fillId="0" borderId="0" xfId="0" applyAlignment="1">
      <alignment horizontal="center" vertical="center" textRotation="90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7" borderId="0" xfId="0" applyFill="1"/>
    <xf numFmtId="0" fontId="0" fillId="8" borderId="0" xfId="0" applyFill="1"/>
    <xf numFmtId="0" fontId="3" fillId="8" borderId="0" xfId="0" applyFont="1" applyFill="1"/>
    <xf numFmtId="0" fontId="2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6" borderId="0" xfId="0" applyFill="1" applyAlignment="1">
      <alignment horizontal="right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12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5" fillId="12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5" fillId="0" borderId="0" xfId="0" applyFont="1" applyAlignment="1">
      <alignment horizontal="right"/>
    </xf>
    <xf numFmtId="3" fontId="0" fillId="0" borderId="0" xfId="0" applyNumberFormat="1"/>
    <xf numFmtId="21" fontId="0" fillId="0" borderId="0" xfId="0" applyNumberFormat="1"/>
    <xf numFmtId="0" fontId="0" fillId="0" borderId="0" xfId="0" applyBorder="1"/>
    <xf numFmtId="0" fontId="5" fillId="0" borderId="0" xfId="0" applyFont="1" applyBorder="1"/>
    <xf numFmtId="0" fontId="5" fillId="0" borderId="1" xfId="0" applyFont="1" applyBorder="1" applyAlignment="1">
      <alignment horizontal="right" vertical="center"/>
    </xf>
    <xf numFmtId="0" fontId="0" fillId="0" borderId="1" xfId="0" applyBorder="1"/>
    <xf numFmtId="0" fontId="5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99"/>
      <color rgb="FF834090"/>
      <color rgb="FF02D63A"/>
      <color rgb="FFFF0066"/>
      <color rgb="FF0066FF"/>
      <color rgb="FF66FF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B2"/>
  <sheetViews>
    <sheetView workbookViewId="0">
      <selection activeCell="B3" sqref="B3"/>
    </sheetView>
  </sheetViews>
  <sheetFormatPr defaultRowHeight="15" x14ac:dyDescent="0.25"/>
  <cols>
    <col min="2" max="2" width="18.140625" customWidth="1"/>
  </cols>
  <sheetData>
    <row r="2" spans="2:2" x14ac:dyDescent="0.25">
      <c r="B2" t="s">
        <v>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D3"/>
  <sheetViews>
    <sheetView workbookViewId="0">
      <selection activeCell="B3" sqref="B3"/>
    </sheetView>
  </sheetViews>
  <sheetFormatPr defaultRowHeight="15" x14ac:dyDescent="0.25"/>
  <sheetData>
    <row r="2" spans="2:4" x14ac:dyDescent="0.25">
      <c r="B2" s="2" t="s">
        <v>1</v>
      </c>
      <c r="C2" s="2"/>
      <c r="D2" s="2"/>
    </row>
    <row r="3" spans="2:4" x14ac:dyDescent="0.25">
      <c r="B3" s="1" t="s">
        <v>2</v>
      </c>
      <c r="C3" s="1" t="s">
        <v>3</v>
      </c>
      <c r="D3" s="1" t="s">
        <v>4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C8"/>
  <sheetViews>
    <sheetView workbookViewId="0">
      <selection activeCell="B2" sqref="B2:B8"/>
    </sheetView>
  </sheetViews>
  <sheetFormatPr defaultRowHeight="15" x14ac:dyDescent="0.25"/>
  <sheetData>
    <row r="2" spans="2:3" x14ac:dyDescent="0.25">
      <c r="B2" s="3" t="s">
        <v>11</v>
      </c>
      <c r="C2" t="s">
        <v>5</v>
      </c>
    </row>
    <row r="3" spans="2:3" x14ac:dyDescent="0.25">
      <c r="B3" s="3"/>
      <c r="C3" t="s">
        <v>6</v>
      </c>
    </row>
    <row r="4" spans="2:3" x14ac:dyDescent="0.25">
      <c r="B4" s="3"/>
      <c r="C4" t="s">
        <v>7</v>
      </c>
    </row>
    <row r="5" spans="2:3" x14ac:dyDescent="0.25">
      <c r="B5" s="3"/>
      <c r="C5" t="s">
        <v>8</v>
      </c>
    </row>
    <row r="6" spans="2:3" x14ac:dyDescent="0.25">
      <c r="B6" s="3"/>
      <c r="C6" t="s">
        <v>9</v>
      </c>
    </row>
    <row r="7" spans="2:3" x14ac:dyDescent="0.25">
      <c r="B7" s="3"/>
      <c r="C7" t="s">
        <v>9</v>
      </c>
    </row>
    <row r="8" spans="2:3" x14ac:dyDescent="0.25">
      <c r="B8" s="3"/>
      <c r="C8" t="s">
        <v>10</v>
      </c>
    </row>
  </sheetData>
  <mergeCells count="1">
    <mergeCell ref="B2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C3:F11"/>
  <sheetViews>
    <sheetView workbookViewId="0">
      <selection activeCell="C5" sqref="C5:C11"/>
    </sheetView>
  </sheetViews>
  <sheetFormatPr defaultRowHeight="15" x14ac:dyDescent="0.25"/>
  <sheetData>
    <row r="3" spans="3:6" x14ac:dyDescent="0.25">
      <c r="D3" s="2" t="s">
        <v>12</v>
      </c>
      <c r="E3" s="2"/>
      <c r="F3" s="2"/>
    </row>
    <row r="4" spans="3:6" x14ac:dyDescent="0.25">
      <c r="D4" s="4" t="s">
        <v>13</v>
      </c>
      <c r="E4" s="1" t="s">
        <v>14</v>
      </c>
      <c r="F4" s="1" t="s">
        <v>15</v>
      </c>
    </row>
    <row r="5" spans="3:6" x14ac:dyDescent="0.25">
      <c r="C5" s="5" t="s">
        <v>11</v>
      </c>
      <c r="D5" t="s">
        <v>16</v>
      </c>
      <c r="E5" t="s">
        <v>9</v>
      </c>
      <c r="F5" t="s">
        <v>7</v>
      </c>
    </row>
    <row r="6" spans="3:6" x14ac:dyDescent="0.25">
      <c r="C6" s="5"/>
      <c r="D6" t="s">
        <v>17</v>
      </c>
      <c r="E6" t="s">
        <v>9</v>
      </c>
      <c r="F6" t="s">
        <v>5</v>
      </c>
    </row>
    <row r="7" spans="3:6" x14ac:dyDescent="0.25">
      <c r="C7" s="5"/>
      <c r="D7" t="s">
        <v>7</v>
      </c>
      <c r="E7" t="s">
        <v>5</v>
      </c>
      <c r="F7" t="s">
        <v>9</v>
      </c>
    </row>
    <row r="8" spans="3:6" x14ac:dyDescent="0.25">
      <c r="C8" s="5"/>
      <c r="D8" t="s">
        <v>8</v>
      </c>
      <c r="E8" t="s">
        <v>17</v>
      </c>
      <c r="F8" t="s">
        <v>9</v>
      </c>
    </row>
    <row r="9" spans="3:6" x14ac:dyDescent="0.25">
      <c r="C9" s="5"/>
      <c r="D9" t="s">
        <v>9</v>
      </c>
      <c r="E9" t="s">
        <v>18</v>
      </c>
      <c r="F9" t="s">
        <v>10</v>
      </c>
    </row>
    <row r="10" spans="3:6" x14ac:dyDescent="0.25">
      <c r="C10" s="5"/>
      <c r="D10" t="s">
        <v>9</v>
      </c>
      <c r="E10" t="s">
        <v>10</v>
      </c>
      <c r="F10" t="s">
        <v>8</v>
      </c>
    </row>
    <row r="11" spans="3:6" x14ac:dyDescent="0.25">
      <c r="C11" s="5"/>
      <c r="D11" t="s">
        <v>10</v>
      </c>
      <c r="E11" t="s">
        <v>8</v>
      </c>
      <c r="F11" t="s">
        <v>17</v>
      </c>
    </row>
  </sheetData>
  <mergeCells count="2">
    <mergeCell ref="D3:F3"/>
    <mergeCell ref="C5:C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3:C3"/>
  <sheetViews>
    <sheetView workbookViewId="0">
      <selection activeCell="C3" sqref="C3"/>
    </sheetView>
  </sheetViews>
  <sheetFormatPr defaultRowHeight="15" x14ac:dyDescent="0.25"/>
  <sheetData>
    <row r="3" spans="2:3" ht="166.5" x14ac:dyDescent="0.25">
      <c r="B3" s="6" t="s">
        <v>19</v>
      </c>
      <c r="C3" s="7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D7"/>
  <sheetViews>
    <sheetView workbookViewId="0">
      <selection activeCell="D8" sqref="D8"/>
    </sheetView>
  </sheetViews>
  <sheetFormatPr defaultRowHeight="15" x14ac:dyDescent="0.25"/>
  <cols>
    <col min="2" max="2" width="25.140625" customWidth="1"/>
    <col min="3" max="3" width="29.140625" customWidth="1"/>
    <col min="4" max="4" width="30.5703125" customWidth="1"/>
  </cols>
  <sheetData>
    <row r="2" spans="2:4" x14ac:dyDescent="0.25">
      <c r="B2" s="8" t="s">
        <v>20</v>
      </c>
      <c r="C2" s="9" t="s">
        <v>21</v>
      </c>
      <c r="D2" s="9" t="s">
        <v>22</v>
      </c>
    </row>
    <row r="3" spans="2:4" x14ac:dyDescent="0.25">
      <c r="B3" s="12" t="s">
        <v>23</v>
      </c>
      <c r="C3" s="12" t="s">
        <v>24</v>
      </c>
      <c r="D3" s="12" t="s">
        <v>25</v>
      </c>
    </row>
    <row r="4" spans="2:4" x14ac:dyDescent="0.25">
      <c r="B4" s="10" t="s">
        <v>26</v>
      </c>
      <c r="C4" s="11">
        <v>250</v>
      </c>
      <c r="D4" s="14">
        <f>PRODUCT(C4,1024)</f>
        <v>256000</v>
      </c>
    </row>
    <row r="5" spans="2:4" x14ac:dyDescent="0.25">
      <c r="B5" s="10" t="s">
        <v>27</v>
      </c>
      <c r="C5" s="11">
        <v>0.7</v>
      </c>
      <c r="D5" s="14">
        <f>PRODUCT(C5,1024)</f>
        <v>716.8</v>
      </c>
    </row>
    <row r="6" spans="2:4" x14ac:dyDescent="0.25">
      <c r="B6" s="10" t="s">
        <v>28</v>
      </c>
      <c r="C6" s="11">
        <v>4.7</v>
      </c>
      <c r="D6" s="14">
        <f>PRODUCT(C6,1024)</f>
        <v>4812.8</v>
      </c>
    </row>
    <row r="7" spans="2:4" x14ac:dyDescent="0.25">
      <c r="B7" s="10" t="s">
        <v>29</v>
      </c>
      <c r="C7" s="11">
        <v>16</v>
      </c>
      <c r="D7" s="14">
        <f>PRODUCT(C7,1024)</f>
        <v>16384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3:F16"/>
  <sheetViews>
    <sheetView workbookViewId="0">
      <selection activeCell="G10" sqref="G10"/>
    </sheetView>
  </sheetViews>
  <sheetFormatPr defaultRowHeight="15" x14ac:dyDescent="0.25"/>
  <cols>
    <col min="2" max="2" width="18.140625" customWidth="1"/>
    <col min="3" max="3" width="18.28515625" customWidth="1"/>
    <col min="4" max="4" width="18.42578125" customWidth="1"/>
    <col min="5" max="6" width="18.28515625" customWidth="1"/>
  </cols>
  <sheetData>
    <row r="3" spans="2:6" x14ac:dyDescent="0.25">
      <c r="B3" s="15" t="s">
        <v>30</v>
      </c>
      <c r="C3" s="16"/>
      <c r="D3" s="16"/>
      <c r="E3" s="16"/>
      <c r="F3" s="16"/>
    </row>
    <row r="4" spans="2:6" x14ac:dyDescent="0.25">
      <c r="B4" s="17" t="s">
        <v>31</v>
      </c>
      <c r="C4" s="17" t="s">
        <v>32</v>
      </c>
      <c r="D4" s="17" t="s">
        <v>33</v>
      </c>
      <c r="E4" s="17" t="s">
        <v>34</v>
      </c>
      <c r="F4" s="17" t="s">
        <v>35</v>
      </c>
    </row>
    <row r="5" spans="2:6" x14ac:dyDescent="0.25">
      <c r="B5" s="13" t="s">
        <v>36</v>
      </c>
      <c r="C5" s="19">
        <v>24</v>
      </c>
      <c r="D5" s="19">
        <v>8</v>
      </c>
      <c r="E5" s="19">
        <v>22</v>
      </c>
      <c r="F5" s="18">
        <f>PRODUCT(C5:D5:E5)</f>
        <v>4224</v>
      </c>
    </row>
    <row r="6" spans="2:6" x14ac:dyDescent="0.25">
      <c r="B6" s="13" t="s">
        <v>37</v>
      </c>
      <c r="C6" s="19">
        <v>16</v>
      </c>
      <c r="D6" s="19">
        <v>7</v>
      </c>
      <c r="E6" s="19">
        <v>18</v>
      </c>
      <c r="F6" s="18">
        <f>PRODUCT(C6:D6:E6)</f>
        <v>2016</v>
      </c>
    </row>
    <row r="7" spans="2:6" x14ac:dyDescent="0.25">
      <c r="B7" s="13" t="s">
        <v>38</v>
      </c>
      <c r="C7" s="19">
        <v>36</v>
      </c>
      <c r="D7" s="19">
        <v>8</v>
      </c>
      <c r="E7" s="19">
        <v>20</v>
      </c>
      <c r="F7" s="18">
        <f t="shared" ref="F7:F15" si="0">PRODUCT(C7:E7)</f>
        <v>5760</v>
      </c>
    </row>
    <row r="8" spans="2:6" x14ac:dyDescent="0.25">
      <c r="B8" s="13" t="s">
        <v>39</v>
      </c>
      <c r="C8" s="19">
        <v>20</v>
      </c>
      <c r="D8" s="19">
        <v>6</v>
      </c>
      <c r="E8" s="19">
        <v>19</v>
      </c>
      <c r="F8" s="18">
        <f t="shared" si="0"/>
        <v>2280</v>
      </c>
    </row>
    <row r="9" spans="2:6" x14ac:dyDescent="0.25">
      <c r="B9" s="13" t="s">
        <v>40</v>
      </c>
      <c r="C9" s="19">
        <v>19</v>
      </c>
      <c r="D9" s="19">
        <v>7</v>
      </c>
      <c r="E9" s="19">
        <v>21</v>
      </c>
      <c r="F9" s="18">
        <f t="shared" si="0"/>
        <v>2793</v>
      </c>
    </row>
    <row r="10" spans="2:6" x14ac:dyDescent="0.25">
      <c r="B10" s="13" t="s">
        <v>41</v>
      </c>
      <c r="C10" s="19">
        <v>34</v>
      </c>
      <c r="D10" s="19">
        <v>6</v>
      </c>
      <c r="E10" s="19">
        <v>22</v>
      </c>
      <c r="F10" s="18">
        <f t="shared" si="0"/>
        <v>4488</v>
      </c>
    </row>
    <row r="11" spans="2:6" x14ac:dyDescent="0.25">
      <c r="B11" s="13" t="s">
        <v>42</v>
      </c>
      <c r="C11" s="19">
        <v>30</v>
      </c>
      <c r="D11" s="19">
        <v>7</v>
      </c>
      <c r="E11" s="19">
        <v>20</v>
      </c>
      <c r="F11" s="18">
        <f t="shared" si="0"/>
        <v>4200</v>
      </c>
    </row>
    <row r="12" spans="2:6" x14ac:dyDescent="0.25">
      <c r="B12" s="13" t="s">
        <v>43</v>
      </c>
      <c r="C12" s="19">
        <v>25</v>
      </c>
      <c r="D12" s="19">
        <v>8</v>
      </c>
      <c r="E12" s="19">
        <v>19</v>
      </c>
      <c r="F12" s="18">
        <f t="shared" si="0"/>
        <v>3800</v>
      </c>
    </row>
    <row r="13" spans="2:6" x14ac:dyDescent="0.25">
      <c r="B13" s="13" t="s">
        <v>44</v>
      </c>
      <c r="C13" s="19">
        <v>31</v>
      </c>
      <c r="D13" s="19">
        <v>8</v>
      </c>
      <c r="E13" s="19">
        <v>22</v>
      </c>
      <c r="F13" s="18">
        <f t="shared" si="0"/>
        <v>5456</v>
      </c>
    </row>
    <row r="14" spans="2:6" x14ac:dyDescent="0.25">
      <c r="B14" s="13" t="s">
        <v>45</v>
      </c>
      <c r="C14" s="19">
        <v>33</v>
      </c>
      <c r="D14" s="19">
        <v>7</v>
      </c>
      <c r="E14" s="19">
        <v>21</v>
      </c>
      <c r="F14" s="18">
        <f t="shared" si="0"/>
        <v>4851</v>
      </c>
    </row>
    <row r="15" spans="2:6" x14ac:dyDescent="0.25">
      <c r="B15" s="13" t="s">
        <v>46</v>
      </c>
      <c r="C15" s="19">
        <v>15</v>
      </c>
      <c r="D15" s="19">
        <v>6</v>
      </c>
      <c r="E15" s="19">
        <v>19</v>
      </c>
      <c r="F15" s="18">
        <f t="shared" si="0"/>
        <v>1710</v>
      </c>
    </row>
    <row r="16" spans="2:6" x14ac:dyDescent="0.25">
      <c r="B16" s="20" t="s">
        <v>47</v>
      </c>
      <c r="C16" s="20"/>
      <c r="D16" s="20"/>
      <c r="E16" s="20"/>
      <c r="F16" s="21">
        <f>SUM(F5:F15)</f>
        <v>41578</v>
      </c>
    </row>
  </sheetData>
  <mergeCells count="2">
    <mergeCell ref="B3:F3"/>
    <mergeCell ref="B16:E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C6"/>
  <sheetViews>
    <sheetView workbookViewId="0">
      <selection activeCell="B7" sqref="B7"/>
    </sheetView>
  </sheetViews>
  <sheetFormatPr defaultRowHeight="15" x14ac:dyDescent="0.25"/>
  <cols>
    <col min="1" max="1" width="21.42578125" customWidth="1"/>
    <col min="2" max="2" width="26.28515625" customWidth="1"/>
    <col min="3" max="3" width="36.42578125" customWidth="1"/>
  </cols>
  <sheetData>
    <row r="1" spans="1:3" ht="18.75" customHeight="1" x14ac:dyDescent="0.25">
      <c r="A1" s="5" t="s">
        <v>48</v>
      </c>
      <c r="B1" s="5"/>
      <c r="C1" s="5"/>
    </row>
    <row r="2" spans="1:3" ht="18" customHeight="1" x14ac:dyDescent="0.25">
      <c r="A2" s="22" t="s">
        <v>49</v>
      </c>
      <c r="B2" s="23" t="s">
        <v>54</v>
      </c>
      <c r="C2" s="23" t="s">
        <v>55</v>
      </c>
    </row>
    <row r="3" spans="1:3" ht="18.75" customHeight="1" x14ac:dyDescent="0.25">
      <c r="A3" s="22" t="s">
        <v>50</v>
      </c>
      <c r="B3" s="22">
        <v>178684</v>
      </c>
      <c r="C3" s="22">
        <v>11022</v>
      </c>
    </row>
    <row r="4" spans="1:3" ht="18" customHeight="1" x14ac:dyDescent="0.25">
      <c r="A4" s="22" t="s">
        <v>51</v>
      </c>
      <c r="B4" s="22">
        <v>91655</v>
      </c>
      <c r="C4" s="22">
        <v>8742</v>
      </c>
    </row>
    <row r="5" spans="1:3" ht="18.75" customHeight="1" x14ac:dyDescent="0.25">
      <c r="A5" s="22" t="s">
        <v>52</v>
      </c>
      <c r="B5" s="22">
        <v>76174</v>
      </c>
      <c r="C5" s="22">
        <v>7729</v>
      </c>
    </row>
    <row r="6" spans="1:3" ht="21.75" customHeight="1" x14ac:dyDescent="0.25">
      <c r="A6" s="22" t="s">
        <v>53</v>
      </c>
      <c r="B6" s="22">
        <v>14756</v>
      </c>
      <c r="C6" s="22">
        <v>5527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66"/>
  </sheetPr>
  <dimension ref="A1:G7"/>
  <sheetViews>
    <sheetView workbookViewId="0">
      <selection activeCell="I4" sqref="I4"/>
    </sheetView>
  </sheetViews>
  <sheetFormatPr defaultRowHeight="15" x14ac:dyDescent="0.25"/>
  <sheetData>
    <row r="1" spans="1:7" ht="41.25" customHeight="1" x14ac:dyDescent="0.25">
      <c r="A1" s="24" t="s">
        <v>56</v>
      </c>
      <c r="B1" s="25" t="s">
        <v>31</v>
      </c>
      <c r="C1" s="25" t="s">
        <v>57</v>
      </c>
      <c r="D1" s="25" t="s">
        <v>7</v>
      </c>
      <c r="E1" s="25" t="s">
        <v>58</v>
      </c>
      <c r="F1" s="25" t="s">
        <v>5</v>
      </c>
      <c r="G1" s="25" t="s">
        <v>59</v>
      </c>
    </row>
    <row r="2" spans="1:7" x14ac:dyDescent="0.25">
      <c r="A2" s="26">
        <v>1</v>
      </c>
      <c r="B2" s="27" t="s">
        <v>60</v>
      </c>
      <c r="C2" s="28">
        <v>5</v>
      </c>
      <c r="D2" s="29">
        <v>4</v>
      </c>
      <c r="E2" s="28">
        <v>5</v>
      </c>
      <c r="F2" s="28">
        <v>5</v>
      </c>
      <c r="G2" s="29">
        <v>4</v>
      </c>
    </row>
    <row r="3" spans="1:7" x14ac:dyDescent="0.25">
      <c r="A3" s="26">
        <v>2</v>
      </c>
      <c r="B3" s="27" t="s">
        <v>61</v>
      </c>
      <c r="C3" s="29">
        <v>4</v>
      </c>
      <c r="D3" s="28">
        <v>5</v>
      </c>
      <c r="E3" s="28">
        <v>5</v>
      </c>
      <c r="F3" s="30">
        <v>3</v>
      </c>
      <c r="G3" s="28">
        <v>5</v>
      </c>
    </row>
    <row r="4" spans="1:7" x14ac:dyDescent="0.25">
      <c r="A4" s="26">
        <v>3</v>
      </c>
      <c r="B4" s="27" t="s">
        <v>62</v>
      </c>
      <c r="C4" s="28">
        <v>5</v>
      </c>
      <c r="D4" s="28">
        <v>5</v>
      </c>
      <c r="E4" s="28">
        <v>5</v>
      </c>
      <c r="F4" s="28">
        <v>5</v>
      </c>
      <c r="G4" s="29">
        <v>4</v>
      </c>
    </row>
    <row r="5" spans="1:7" x14ac:dyDescent="0.25">
      <c r="A5" s="26">
        <v>4</v>
      </c>
      <c r="B5" s="27" t="s">
        <v>63</v>
      </c>
      <c r="C5" s="29">
        <v>4</v>
      </c>
      <c r="D5" s="28">
        <v>5</v>
      </c>
      <c r="E5" s="29">
        <v>4</v>
      </c>
      <c r="F5" s="29">
        <v>4</v>
      </c>
      <c r="G5" s="30">
        <v>3</v>
      </c>
    </row>
    <row r="6" spans="1:7" x14ac:dyDescent="0.25">
      <c r="A6" s="26">
        <v>5</v>
      </c>
      <c r="B6" s="27" t="s">
        <v>64</v>
      </c>
      <c r="C6" s="30">
        <v>3</v>
      </c>
      <c r="D6" s="30">
        <v>3</v>
      </c>
      <c r="E6" s="28">
        <v>5</v>
      </c>
      <c r="F6" s="28">
        <v>5</v>
      </c>
      <c r="G6" s="30">
        <v>3</v>
      </c>
    </row>
    <row r="7" spans="1:7" x14ac:dyDescent="0.25">
      <c r="A7" s="26">
        <v>6</v>
      </c>
      <c r="B7" s="27" t="s">
        <v>65</v>
      </c>
      <c r="C7" s="29">
        <v>4</v>
      </c>
      <c r="D7" s="29">
        <v>4</v>
      </c>
      <c r="E7" s="28">
        <v>5</v>
      </c>
      <c r="F7" s="30">
        <v>3</v>
      </c>
      <c r="G7" s="28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FF"/>
  </sheetPr>
  <dimension ref="A1:B4"/>
  <sheetViews>
    <sheetView workbookViewId="0">
      <selection activeCell="B3" sqref="B3"/>
    </sheetView>
  </sheetViews>
  <sheetFormatPr defaultRowHeight="15" x14ac:dyDescent="0.25"/>
  <cols>
    <col min="1" max="1" width="23.5703125" customWidth="1"/>
    <col min="2" max="2" width="12.42578125" customWidth="1"/>
  </cols>
  <sheetData>
    <row r="1" spans="1:2" x14ac:dyDescent="0.25">
      <c r="A1" s="31" t="s">
        <v>69</v>
      </c>
      <c r="B1" s="31"/>
    </row>
    <row r="2" spans="1:2" x14ac:dyDescent="0.25">
      <c r="A2" s="36" t="s">
        <v>70</v>
      </c>
      <c r="B2" s="33" t="s">
        <v>66</v>
      </c>
    </row>
    <row r="3" spans="1:2" x14ac:dyDescent="0.25">
      <c r="A3" s="36" t="s">
        <v>71</v>
      </c>
      <c r="B3" s="34">
        <v>5.5E-2</v>
      </c>
    </row>
    <row r="4" spans="1:2" x14ac:dyDescent="0.25">
      <c r="A4" s="36" t="s">
        <v>67</v>
      </c>
      <c r="B4" s="35" t="s">
        <v>68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C6"/>
  <sheetViews>
    <sheetView workbookViewId="0">
      <selection activeCell="C7" sqref="C7"/>
    </sheetView>
  </sheetViews>
  <sheetFormatPr defaultRowHeight="15" x14ac:dyDescent="0.25"/>
  <cols>
    <col min="1" max="1" width="10.42578125" customWidth="1"/>
    <col min="2" max="2" width="59.7109375" customWidth="1"/>
    <col min="3" max="3" width="19.7109375" customWidth="1"/>
  </cols>
  <sheetData>
    <row r="1" spans="1:3" x14ac:dyDescent="0.25">
      <c r="A1" s="31" t="s">
        <v>72</v>
      </c>
      <c r="B1" s="31"/>
      <c r="C1" s="31"/>
    </row>
    <row r="2" spans="1:3" x14ac:dyDescent="0.25">
      <c r="A2" s="4">
        <v>1</v>
      </c>
      <c r="B2" s="32" t="s">
        <v>73</v>
      </c>
      <c r="C2" s="37">
        <v>149600000</v>
      </c>
    </row>
    <row r="3" spans="1:3" x14ac:dyDescent="0.25">
      <c r="A3" s="4">
        <v>2</v>
      </c>
      <c r="B3" s="32" t="s">
        <v>74</v>
      </c>
      <c r="C3">
        <v>384000</v>
      </c>
    </row>
    <row r="4" spans="1:3" x14ac:dyDescent="0.25">
      <c r="A4" s="4">
        <v>3</v>
      </c>
      <c r="B4" s="32" t="s">
        <v>75</v>
      </c>
      <c r="C4" s="38">
        <v>0.9972685185185185</v>
      </c>
    </row>
    <row r="5" spans="1:3" x14ac:dyDescent="0.25">
      <c r="A5" s="4">
        <v>4</v>
      </c>
      <c r="B5" s="32" t="s">
        <v>76</v>
      </c>
      <c r="C5">
        <v>365.25599999999997</v>
      </c>
    </row>
    <row r="6" spans="1:3" x14ac:dyDescent="0.25">
      <c r="A6" s="4">
        <v>5</v>
      </c>
      <c r="B6" s="32" t="s">
        <v>77</v>
      </c>
      <c r="C6">
        <v>29.8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6"/>
  <sheetViews>
    <sheetView tabSelected="1" workbookViewId="0">
      <selection activeCell="F9" sqref="F9"/>
    </sheetView>
  </sheetViews>
  <sheetFormatPr defaultRowHeight="15" x14ac:dyDescent="0.25"/>
  <cols>
    <col min="1" max="1" width="15.7109375" customWidth="1"/>
    <col min="2" max="2" width="13.5703125" customWidth="1"/>
  </cols>
  <sheetData>
    <row r="1" spans="1:8" x14ac:dyDescent="0.25">
      <c r="A1" s="39"/>
      <c r="B1" s="40" t="s">
        <v>19</v>
      </c>
      <c r="C1" s="40" t="s">
        <v>78</v>
      </c>
      <c r="D1" s="40" t="s">
        <v>11</v>
      </c>
      <c r="E1" s="40" t="s">
        <v>79</v>
      </c>
      <c r="F1" s="40" t="s">
        <v>80</v>
      </c>
      <c r="G1" s="40" t="s">
        <v>81</v>
      </c>
      <c r="H1" s="40" t="s">
        <v>82</v>
      </c>
    </row>
    <row r="2" spans="1:8" x14ac:dyDescent="0.25">
      <c r="A2" s="40" t="s">
        <v>83</v>
      </c>
      <c r="B2" s="39"/>
      <c r="C2" s="39"/>
      <c r="D2" s="39"/>
      <c r="E2" s="39"/>
      <c r="F2" s="39"/>
      <c r="G2" s="39"/>
      <c r="H2" s="39"/>
    </row>
    <row r="3" spans="1:8" x14ac:dyDescent="0.25">
      <c r="A3" s="40" t="s">
        <v>84</v>
      </c>
      <c r="B3" s="39"/>
      <c r="C3" s="39"/>
      <c r="D3" s="39"/>
      <c r="E3" s="39"/>
      <c r="F3" s="39"/>
      <c r="G3" s="39"/>
      <c r="H3" s="39"/>
    </row>
    <row r="4" spans="1:8" x14ac:dyDescent="0.25">
      <c r="A4" s="40" t="s">
        <v>85</v>
      </c>
      <c r="B4" s="39"/>
      <c r="C4" s="39"/>
      <c r="D4" s="39"/>
      <c r="E4" s="39"/>
      <c r="F4" s="39"/>
      <c r="G4" s="39"/>
      <c r="H4" s="39"/>
    </row>
    <row r="5" spans="1:8" x14ac:dyDescent="0.25">
      <c r="A5" s="40" t="s">
        <v>86</v>
      </c>
      <c r="B5" s="39"/>
      <c r="C5" s="39"/>
      <c r="D5" s="39"/>
      <c r="E5" s="39"/>
      <c r="F5" s="39"/>
      <c r="G5" s="39"/>
      <c r="H5" s="39"/>
    </row>
    <row r="6" spans="1:8" x14ac:dyDescent="0.25">
      <c r="A6" s="43" t="s">
        <v>87</v>
      </c>
      <c r="B6" s="43"/>
      <c r="C6" s="42"/>
      <c r="D6" s="41" t="s">
        <v>88</v>
      </c>
      <c r="E6" s="41"/>
      <c r="F6" s="41"/>
      <c r="G6" s="41"/>
      <c r="H6" s="42"/>
    </row>
  </sheetData>
  <mergeCells count="2">
    <mergeCell ref="A6:B6"/>
    <mergeCell ref="D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2025-01-26T19:55:58Z</dcterms:created>
  <dcterms:modified xsi:type="dcterms:W3CDTF">2025-01-26T21:12:34Z</dcterms:modified>
</cp:coreProperties>
</file>